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dmi\Documents\"/>
    </mc:Choice>
  </mc:AlternateContent>
  <xr:revisionPtr revIDLastSave="0" documentId="8_{0157382F-BE94-4403-AE82-F5DB87A5B669}" xr6:coauthVersionLast="47" xr6:coauthVersionMax="47" xr10:uidLastSave="{00000000-0000-0000-0000-000000000000}"/>
  <bookViews>
    <workbookView xWindow="-110" yWindow="-110" windowWidth="25820" windowHeight="14020" xr2:uid="{81634F0C-240E-4F23-A7A9-61FA443894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5" i="1" l="1"/>
  <c r="B22" i="1"/>
  <c r="B16" i="1" s="1"/>
  <c r="B30" i="1" s="1"/>
  <c r="B17" i="1"/>
  <c r="B15" i="1"/>
  <c r="B11" i="1"/>
  <c r="B27" i="1" s="1"/>
  <c r="B28" i="1" s="1"/>
  <c r="B29" i="1" s="1"/>
</calcChain>
</file>

<file path=xl/sharedStrings.xml><?xml version="1.0" encoding="utf-8"?>
<sst xmlns="http://schemas.openxmlformats.org/spreadsheetml/2006/main" count="36" uniqueCount="35">
  <si>
    <t>Параметры сценария</t>
  </si>
  <si>
    <t>Количество поступающих заказов в день, шт.</t>
  </si>
  <si>
    <t>Средняя маржа по заказу, руб.</t>
  </si>
  <si>
    <t>Стоимость доставки, руб.</t>
  </si>
  <si>
    <t>Зарплата Менеджера, руб. в час</t>
  </si>
  <si>
    <t>Зарплата Кладовщика, руб. в месяц</t>
  </si>
  <si>
    <t>Зарплата Курьера, руб. за доставку</t>
  </si>
  <si>
    <t>Транспортные расходы Курьера, руб. за доставку</t>
  </si>
  <si>
    <t>Количество Менеджеров, чел.</t>
  </si>
  <si>
    <t>Количество Курьеров, чел.</t>
  </si>
  <si>
    <t>Доходы (Продуктивность)</t>
  </si>
  <si>
    <t>Количество полученных заказов, шт. в месяц</t>
  </si>
  <si>
    <t>Количество успешно исполненных заказов, шт. в месяц</t>
  </si>
  <si>
    <t>Количество отказов покупателей от заказа при получении, шт. в месяц</t>
  </si>
  <si>
    <t>Маржинальная прибыль, руб. в месяц</t>
  </si>
  <si>
    <t>Затраты (Себестоимость)</t>
  </si>
  <si>
    <t>Постоянные издержки</t>
  </si>
  <si>
    <t>Аренда склада, руб. в месяц</t>
  </si>
  <si>
    <t>Реклама, руб. в месяц</t>
  </si>
  <si>
    <t>Иные постоянные издержки, руб. в месяц</t>
  </si>
  <si>
    <t>Переменные издержки</t>
  </si>
  <si>
    <t>Зарплата Менеджеров, руб. в час</t>
  </si>
  <si>
    <t>Зарплата Курьеров, руб. за доставку</t>
  </si>
  <si>
    <t>Транспортные расходы Курьеров, руб. в месяц</t>
  </si>
  <si>
    <t>Эффективность</t>
  </si>
  <si>
    <t>Чистая прибыль, руб. в месяц</t>
  </si>
  <si>
    <t>Чистая прибыль с 1-го заказа, руб</t>
  </si>
  <si>
    <t>Чистая парибыль с 1-го заказа, % от маржи</t>
  </si>
  <si>
    <t>Себестоимость обработки 1-го заказа, руб</t>
  </si>
  <si>
    <t>Средняя длительность обработки заказа, мин.</t>
  </si>
  <si>
    <t>Максимальное среднее время ожидания ресурса, мин.</t>
  </si>
  <si>
    <t>Средняя загрузка Менеджера, % от рабочего времени</t>
  </si>
  <si>
    <t>Средняя загрузка Курьера, % от рабочего времени</t>
  </si>
  <si>
    <t>Доля отказов от заказов при получении, % от общего количества заказов</t>
  </si>
  <si>
    <t>Выводы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</si>
</sst>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79F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4" borderId="0" xfId="0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0" fillId="8" borderId="0" xfId="0" applyFill="1"/>
    <xf numFmtId="0" fontId="1" fillId="9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0488A-F7A5-46B5-B466-6D1773DCF853}">
  <dimension ref="A1:B36"/>
  <sheetViews>
    <sheetView tabSelected="1" workbookViewId="0">
      <selection activeCell="C7" sqref="C7"/>
    </sheetView>
  </sheetViews>
  <sheetFormatPr defaultRowHeight="14.5" x14ac:dyDescent="0.35"/>
  <cols>
    <col min="1" max="1" width="73.453125" customWidth="1"/>
    <col min="2" max="2" width="29.54296875" customWidth="1"/>
  </cols>
  <sheetData>
    <row r="1" spans="1:2" x14ac:dyDescent="0.35">
      <c r="A1" s="1" t="s">
        <v>0</v>
      </c>
      <c r="B1" s="1"/>
    </row>
    <row r="2" spans="1:2" x14ac:dyDescent="0.35">
      <c r="A2" t="s">
        <v>1</v>
      </c>
      <c r="B2">
        <v>10</v>
      </c>
    </row>
    <row r="3" spans="1:2" x14ac:dyDescent="0.35">
      <c r="A3" t="s">
        <v>2</v>
      </c>
      <c r="B3">
        <v>1000</v>
      </c>
    </row>
    <row r="4" spans="1:2" x14ac:dyDescent="0.35">
      <c r="A4" t="s">
        <v>3</v>
      </c>
      <c r="B4">
        <v>0</v>
      </c>
    </row>
    <row r="5" spans="1:2" x14ac:dyDescent="0.35">
      <c r="A5" t="s">
        <v>4</v>
      </c>
      <c r="B5">
        <v>300</v>
      </c>
    </row>
    <row r="6" spans="1:2" x14ac:dyDescent="0.35">
      <c r="A6" t="s">
        <v>5</v>
      </c>
      <c r="B6">
        <v>30000</v>
      </c>
    </row>
    <row r="7" spans="1:2" x14ac:dyDescent="0.35">
      <c r="A7" t="s">
        <v>6</v>
      </c>
      <c r="B7">
        <v>200</v>
      </c>
    </row>
    <row r="8" spans="1:2" x14ac:dyDescent="0.35">
      <c r="A8" t="s">
        <v>7</v>
      </c>
      <c r="B8">
        <v>50</v>
      </c>
    </row>
    <row r="9" spans="1:2" x14ac:dyDescent="0.35">
      <c r="A9" t="s">
        <v>8</v>
      </c>
      <c r="B9">
        <v>1</v>
      </c>
    </row>
    <row r="10" spans="1:2" x14ac:dyDescent="0.35">
      <c r="A10" t="s">
        <v>9</v>
      </c>
      <c r="B10">
        <v>1</v>
      </c>
    </row>
    <row r="11" spans="1:2" x14ac:dyDescent="0.35">
      <c r="A11" s="2" t="s">
        <v>10</v>
      </c>
      <c r="B11" s="2">
        <f>SUM(B12:B15)</f>
        <v>300</v>
      </c>
    </row>
    <row r="12" spans="1:2" x14ac:dyDescent="0.35">
      <c r="A12" t="s">
        <v>11</v>
      </c>
      <c r="B12">
        <v>300</v>
      </c>
    </row>
    <row r="13" spans="1:2" x14ac:dyDescent="0.35">
      <c r="A13" t="s">
        <v>12</v>
      </c>
      <c r="B13" s="3"/>
    </row>
    <row r="14" spans="1:2" x14ac:dyDescent="0.35">
      <c r="A14" t="s">
        <v>13</v>
      </c>
      <c r="B14" s="3"/>
    </row>
    <row r="15" spans="1:2" x14ac:dyDescent="0.35">
      <c r="A15" t="s">
        <v>14</v>
      </c>
      <c r="B15">
        <f>B3*(B4+B13)</f>
        <v>0</v>
      </c>
    </row>
    <row r="16" spans="1:2" x14ac:dyDescent="0.35">
      <c r="A16" s="4" t="s">
        <v>15</v>
      </c>
      <c r="B16" s="4">
        <f>B17+B22</f>
        <v>70000</v>
      </c>
    </row>
    <row r="17" spans="1:2" x14ac:dyDescent="0.35">
      <c r="A17" s="5" t="s">
        <v>16</v>
      </c>
      <c r="B17" s="5">
        <f>SUM(B18:B21)</f>
        <v>70000</v>
      </c>
    </row>
    <row r="18" spans="1:2" x14ac:dyDescent="0.35">
      <c r="A18" t="s">
        <v>5</v>
      </c>
      <c r="B18">
        <v>30000</v>
      </c>
    </row>
    <row r="19" spans="1:2" x14ac:dyDescent="0.35">
      <c r="A19" t="s">
        <v>17</v>
      </c>
      <c r="B19">
        <v>10000</v>
      </c>
    </row>
    <row r="20" spans="1:2" x14ac:dyDescent="0.35">
      <c r="A20" t="s">
        <v>18</v>
      </c>
      <c r="B20">
        <v>10000</v>
      </c>
    </row>
    <row r="21" spans="1:2" x14ac:dyDescent="0.35">
      <c r="A21" t="s">
        <v>19</v>
      </c>
      <c r="B21">
        <v>20000</v>
      </c>
    </row>
    <row r="22" spans="1:2" x14ac:dyDescent="0.35">
      <c r="A22" s="5" t="s">
        <v>20</v>
      </c>
      <c r="B22" s="5">
        <f>SUM(B23:B25)</f>
        <v>0</v>
      </c>
    </row>
    <row r="23" spans="1:2" x14ac:dyDescent="0.35">
      <c r="A23" t="s">
        <v>21</v>
      </c>
      <c r="B23" s="3"/>
    </row>
    <row r="24" spans="1:2" x14ac:dyDescent="0.35">
      <c r="A24" t="s">
        <v>22</v>
      </c>
      <c r="B24" s="3"/>
    </row>
    <row r="25" spans="1:2" x14ac:dyDescent="0.35">
      <c r="A25" t="s">
        <v>23</v>
      </c>
      <c r="B25" s="3"/>
    </row>
    <row r="26" spans="1:2" x14ac:dyDescent="0.35">
      <c r="A26" s="6" t="s">
        <v>24</v>
      </c>
      <c r="B26" s="6"/>
    </row>
    <row r="27" spans="1:2" x14ac:dyDescent="0.35">
      <c r="A27" t="s">
        <v>25</v>
      </c>
      <c r="B27">
        <f>B11-B16</f>
        <v>-69700</v>
      </c>
    </row>
    <row r="28" spans="1:2" x14ac:dyDescent="0.35">
      <c r="A28" t="s">
        <v>26</v>
      </c>
      <c r="B28">
        <f>B27/B12</f>
        <v>-232.33333333333334</v>
      </c>
    </row>
    <row r="29" spans="1:2" x14ac:dyDescent="0.35">
      <c r="A29" t="s">
        <v>27</v>
      </c>
      <c r="B29">
        <f>B28/B3</f>
        <v>-0.23233333333333334</v>
      </c>
    </row>
    <row r="30" spans="1:2" x14ac:dyDescent="0.35">
      <c r="A30" t="s">
        <v>28</v>
      </c>
      <c r="B30">
        <f>B16/B12</f>
        <v>233.33333333333334</v>
      </c>
    </row>
    <row r="31" spans="1:2" x14ac:dyDescent="0.35">
      <c r="A31" t="s">
        <v>29</v>
      </c>
      <c r="B31" s="3"/>
    </row>
    <row r="32" spans="1:2" x14ac:dyDescent="0.35">
      <c r="A32" t="s">
        <v>30</v>
      </c>
      <c r="B32" s="3"/>
    </row>
    <row r="33" spans="1:2" x14ac:dyDescent="0.35">
      <c r="A33" t="s">
        <v>31</v>
      </c>
      <c r="B33" s="3"/>
    </row>
    <row r="34" spans="1:2" x14ac:dyDescent="0.35">
      <c r="A34" t="s">
        <v>32</v>
      </c>
      <c r="B34" s="3"/>
    </row>
    <row r="35" spans="1:2" x14ac:dyDescent="0.35">
      <c r="A35" t="s">
        <v>33</v>
      </c>
      <c r="B35" s="7">
        <f>B14/B12</f>
        <v>0</v>
      </c>
    </row>
    <row r="36" spans="1:2" x14ac:dyDescent="0.35">
      <c r="A36" s="8" t="s">
        <v>34</v>
      </c>
      <c r="B36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Радмир Ибрагимов</dc:creator>
  <cp:lastModifiedBy>Радмир Ибрагимов</cp:lastModifiedBy>
  <dcterms:created xsi:type="dcterms:W3CDTF">2023-06-17T08:56:56Z</dcterms:created>
  <dcterms:modified xsi:type="dcterms:W3CDTF">2025-09-30T15:17:26Z</dcterms:modified>
</cp:coreProperties>
</file>